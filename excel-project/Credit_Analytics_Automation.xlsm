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20001_{7E160ED7-111B-4EB4-BF09-07856530941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AW_DATA" sheetId="1" r:id="rId1"/>
    <sheet name="DASHBOARD" sheetId="2" r:id="rId2"/>
    <sheet name="AUTOMATION_LOG" sheetId="3" r:id="rId3"/>
  </sheets>
  <calcPr calcId="191029"/>
</workbook>
</file>

<file path=xl/calcChain.xml><?xml version="1.0" encoding="utf-8"?>
<calcChain xmlns="http://schemas.openxmlformats.org/spreadsheetml/2006/main">
  <c r="B4" i="3" l="1"/>
</calcChain>
</file>

<file path=xl/sharedStrings.xml><?xml version="1.0" encoding="utf-8"?>
<sst xmlns="http://schemas.openxmlformats.org/spreadsheetml/2006/main" count="350" uniqueCount="66">
  <si>
    <t>Date</t>
  </si>
  <si>
    <t>Customer</t>
  </si>
  <si>
    <t>Amount</t>
  </si>
  <si>
    <t>Status</t>
  </si>
  <si>
    <t>Region</t>
  </si>
  <si>
    <t>Client K</t>
  </si>
  <si>
    <t>Approved</t>
  </si>
  <si>
    <t>SP</t>
  </si>
  <si>
    <t>Client J</t>
  </si>
  <si>
    <t>Pending</t>
  </si>
  <si>
    <t>MG</t>
  </si>
  <si>
    <t>Client S</t>
  </si>
  <si>
    <t>RJ</t>
  </si>
  <si>
    <t>Rejected</t>
  </si>
  <si>
    <t>Client D</t>
  </si>
  <si>
    <t>Client P</t>
  </si>
  <si>
    <t>Client C</t>
  </si>
  <si>
    <t>PR</t>
  </si>
  <si>
    <t>Client G</t>
  </si>
  <si>
    <t>Client A</t>
  </si>
  <si>
    <t>Client F</t>
  </si>
  <si>
    <t>Client Q</t>
  </si>
  <si>
    <t>Client R</t>
  </si>
  <si>
    <t>Client H</t>
  </si>
  <si>
    <t>Client B</t>
  </si>
  <si>
    <t>Client T</t>
  </si>
  <si>
    <t>Client E</t>
  </si>
  <si>
    <t>Client O</t>
  </si>
  <si>
    <t>Client I</t>
  </si>
  <si>
    <t>Client M</t>
  </si>
  <si>
    <t>Client L</t>
  </si>
  <si>
    <t>CREDIT ANALYTICS AUTOMATION DASHBOARD</t>
  </si>
  <si>
    <t>Operational Gain</t>
  </si>
  <si>
    <t>85% Reduction</t>
  </si>
  <si>
    <t>REGIONAL PERFORMANCE</t>
  </si>
  <si>
    <t>AUTOMATION IMPACT</t>
  </si>
  <si>
    <t>EXECUTION DATE</t>
  </si>
  <si>
    <t>ACTION</t>
  </si>
  <si>
    <t>PDF Export</t>
  </si>
  <si>
    <t>CSV Export</t>
  </si>
  <si>
    <t>Ticket Médio Esperado</t>
  </si>
  <si>
    <t>Atualização Automática</t>
  </si>
  <si>
    <t>SIM</t>
  </si>
  <si>
    <t>Responsável</t>
  </si>
  <si>
    <t>Ambiente</t>
  </si>
  <si>
    <t>Última Atualização</t>
  </si>
  <si>
    <t>CONTROLE DE VERSÃO</t>
  </si>
  <si>
    <t>Versão Atual</t>
  </si>
  <si>
    <t>Data Release</t>
  </si>
  <si>
    <t>AVG TICKET_x000D_
8.492</t>
  </si>
  <si>
    <t>PENDING</t>
  </si>
  <si>
    <t>REJECTED</t>
  </si>
  <si>
    <t>TOTAL PORTFOLIO</t>
  </si>
  <si>
    <t>APPROVAL RATE</t>
  </si>
  <si>
    <t>APPROVED</t>
  </si>
  <si>
    <t>YES</t>
  </si>
  <si>
    <t>42,00%</t>
  </si>
  <si>
    <t>Lenovo</t>
  </si>
  <si>
    <t>Windows (64-bit) NT 10.00</t>
  </si>
  <si>
    <t>Região Maior volume</t>
  </si>
  <si>
    <t>v2,1</t>
  </si>
  <si>
    <t>R$ 849.190,00</t>
  </si>
  <si>
    <t>R$ 320.047,00</t>
  </si>
  <si>
    <t>R$ 269.628,00</t>
  </si>
  <si>
    <t>R$ 259.515,00</t>
  </si>
  <si>
    <t>R$ 8.491,90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</si>
</sst>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yyyy\-mm\-dd\ h:mm:ss"/>
    <numFmt numFmtId="165" formatCode="\R&quot;R$&quot;\ #,##0"/>
    <numFmt numFmtId="166" formatCode="_-[$R$-416]\ * #,##0.00_-;\-[$R$-416]\ * #,##0.00_-;_-[$R$-416]\ * &quot;-&quot;??_-;_-@_-"/>
    <numFmt numFmtId="167" formatCode="&quot;R$&quot;\ #,##0.00"/>
    <numFmt numFmtId="168" formatCode="dd/mm/yyyy\ hh:mm:ss"/>
    <numFmt numFmtId="169" formatCode="dd/mm/yyyy"/>
  </numFmts>
  <fonts count="19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Aptos"/>
      <family val="2"/>
    </font>
    <font>
      <sz val="11"/>
      <color theme="1"/>
      <name val="Segoe UI"/>
      <family val="2"/>
    </font>
    <font>
      <sz val="11"/>
      <color rgb="FFFFFFFF"/>
      <name val="Calibri"/>
    </font>
    <font>
      <sz val="11"/>
      <color rgb="FFFFFFFF"/>
      <name val="Calibri"/>
    </font>
    <font>
      <b/>
      <sz val="22"/>
      <color rgb="FFFFFFFF"/>
      <name val="Calibri"/>
    </font>
    <font>
      <b/>
      <sz val="14"/>
      <color rgb="FFF3C24F"/>
      <name val="Calibri"/>
    </font>
    <font>
      <b/>
      <sz val="16"/>
      <color rgb="FFF3C24F"/>
      <name val="Calibri"/>
    </font>
    <font>
      <sz val="11"/>
      <color rgb="FFFFFFFF"/>
      <name val="Calibri"/>
    </font>
    <font>
      <b/>
      <sz val="11"/>
      <color rgb="FFFFFFFF"/>
      <name val="Calibri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b/>
      <sz val="14"/>
      <color rgb="FFFFFFFF"/>
      <name val="Calibri"/>
      <family val="2"/>
    </font>
    <font>
      <sz val="14"/>
      <color rgb="FFFFFFFF"/>
      <name val="Calibri"/>
      <family val="2"/>
    </font>
    <font>
      <sz val="14"/>
      <color theme="1"/>
      <name val="Aptos"/>
      <family val="2"/>
    </font>
  </fonts>
  <fills count="13">
    <fill>
      <patternFill patternType="none"/>
    </fill>
    <fill>
      <patternFill patternType="gray125"/>
    </fill>
    <fill>
      <patternFill patternType="solid">
        <fgColor rgb="FFEC7000"/>
      </patternFill>
    </fill>
    <fill>
      <patternFill patternType="solid">
        <fgColor theme="0"/>
        <bgColor indexed="64"/>
      </patternFill>
    </fill>
    <fill>
      <patternFill patternType="solid">
        <fgColor rgb="FF0B0B0B"/>
      </patternFill>
    </fill>
    <fill>
      <patternFill patternType="solid">
        <fgColor rgb="FFEC7000"/>
      </patternFill>
    </fill>
    <fill>
      <patternFill patternType="solid">
        <fgColor rgb="FF16161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F0F0F"/>
        <bgColor indexed="64"/>
      </patternFill>
    </fill>
  </fills>
  <borders count="5">
    <border>
      <left/>
      <right/>
      <top/>
      <bottom/>
      <diagonal/>
    </border>
    <border>
      <left style="thin">
        <color rgb="FF2A2A2A"/>
      </left>
      <right/>
      <top style="thin">
        <color rgb="FF2A2A2A"/>
      </top>
      <bottom style="thin">
        <color rgb="FF2A2A2A"/>
      </bottom>
      <diagonal/>
    </border>
    <border>
      <left/>
      <right style="thin">
        <color rgb="FF2A2A2A"/>
      </right>
      <top style="thin">
        <color rgb="FF2A2A2A"/>
      </top>
      <bottom style="thin">
        <color rgb="FF2A2A2A"/>
      </bottom>
      <diagonal/>
    </border>
    <border>
      <left style="thin">
        <color rgb="FF2A2A2A"/>
      </left>
      <right style="thin">
        <color rgb="FF2A2A2A"/>
      </right>
      <top style="thin">
        <color rgb="FF2A2A2A"/>
      </top>
      <bottom style="thin">
        <color rgb="FF2A2A2A"/>
      </bottom>
      <diagonal/>
    </border>
    <border>
      <left/>
      <right/>
      <top style="thin">
        <color rgb="FF2A2A2A"/>
      </top>
      <bottom style="thin">
        <color rgb="FF2A2A2A"/>
      </bottom>
      <diagonal/>
    </border>
  </borders>
  <cellStyleXfs count="3">
    <xf numFmtId="0" fontId="0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47">
    <xf numFmtId="0" fontId="0" fillId="0" borderId="0" xfId="0"/>
    <xf numFmtId="0" fontId="1" fillId="2" borderId="0" xfId="0" applyFont="1" applyFill="1" applyAlignment="1">
      <alignment horizontal="center"/>
    </xf>
    <xf numFmtId="164" fontId="0" fillId="0" borderId="0" xfId="0" applyNumberForma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65" fontId="5" fillId="4" borderId="3" xfId="0" applyNumberFormat="1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 wrapText="1"/>
    </xf>
    <xf numFmtId="0" fontId="10" fillId="5" borderId="3" xfId="0" applyFont="1" applyFill="1" applyBorder="1" applyAlignment="1">
      <alignment horizontal="center" vertical="center"/>
    </xf>
    <xf numFmtId="0" fontId="9" fillId="4" borderId="3" xfId="0" applyFont="1" applyFill="1" applyBorder="1"/>
    <xf numFmtId="0" fontId="9" fillId="4" borderId="3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 wrapText="1"/>
    </xf>
    <xf numFmtId="0" fontId="14" fillId="4" borderId="3" xfId="0" applyFont="1" applyFill="1" applyBorder="1" applyAlignment="1">
      <alignment horizontal="center" vertical="center"/>
    </xf>
    <xf numFmtId="0" fontId="13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9" fontId="9" fillId="4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0" xfId="0" applyFont="1" applyFill="1" applyBorder="1"/>
    <xf numFmtId="168" fontId="9" fillId="4" borderId="1" xfId="0" applyNumberFormat="1" applyFont="1" applyFill="1" applyBorder="1" applyAlignment="1">
      <alignment horizontal="center" vertical="center" wrapText="1"/>
    </xf>
    <xf numFmtId="2" fontId="9" fillId="4" borderId="1" xfId="0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6" fontId="0" fillId="0" borderId="0" xfId="0" applyNumberFormat="1"/>
    <xf numFmtId="0" fontId="4" fillId="4" borderId="3" xfId="0" applyFont="1" applyFill="1" applyBorder="1" applyAlignment="1">
      <alignment horizontal="center" vertical="center" wrapText="1"/>
    </xf>
    <xf numFmtId="168" fontId="3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169" fontId="9" fillId="4" borderId="1" xfId="0" applyNumberFormat="1" applyFont="1" applyFill="1" applyBorder="1" applyAlignment="1">
      <alignment horizontal="center" vertical="center" wrapText="1"/>
    </xf>
    <xf numFmtId="167" fontId="16" fillId="12" borderId="3" xfId="1" applyNumberFormat="1" applyFont="1" applyFill="1" applyBorder="1" applyAlignment="1">
      <alignment horizontal="center" vertical="center" wrapText="1"/>
    </xf>
    <xf numFmtId="44" fontId="16" fillId="12" borderId="3" xfId="1" applyFont="1" applyFill="1" applyBorder="1" applyAlignment="1">
      <alignment horizontal="center" vertical="center"/>
    </xf>
    <xf numFmtId="44" fontId="16" fillId="12" borderId="3" xfId="1" applyFont="1" applyFill="1" applyBorder="1" applyAlignment="1">
      <alignment horizontal="center" vertical="center" wrapText="1"/>
    </xf>
    <xf numFmtId="9" fontId="16" fillId="12" borderId="3" xfId="2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/>
    </xf>
    <xf numFmtId="0" fontId="18" fillId="0" borderId="0" xfId="0" applyFont="1"/>
  </cellXfs>
  <cellStyles count="3">
    <cellStyle name="Moeda" xfId="1" builtinId="4"/>
    <cellStyle name="Normal" xfId="0" builtinId="0"/>
    <cellStyle name="Porcentagem" xfId="2" builtinId="5"/>
  </cellStyles>
  <dxfs count="1">
    <dxf>
      <numFmt numFmtId="166" formatCode="_-[$R$-416]\ * #,##0.00_-;\-[$R$-416]\ * #,##0.00_-;_-[$R$-416]\ * &quot;-&quot;??_-;_-@_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Portfolio by Region</a:t>
            </a:r>
          </a:p>
        </c:rich>
      </c:tx>
      <c:layout>
        <c:manualLayout>
          <c:xMode val="edge"/>
          <c:yMode val="edge"/>
          <c:x val="0.28343434343434343"/>
          <c:y val="8.4805653710247356E-2"/>
        </c:manualLayout>
      </c:layout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ln>
              <a:prstDash val="solid"/>
            </a:ln>
          </c:spPr>
          <c:invertIfNegative val="1"/>
          <c:cat>
            <c:strRef>
              <c:f>DASHBOARD!$A$10:$A$13</c:f>
              <c:strCache>
                <c:ptCount val="4"/>
                <c:pt idx="0">
                  <c:v>SP</c:v>
                </c:pt>
                <c:pt idx="1">
                  <c:v>RJ</c:v>
                </c:pt>
                <c:pt idx="2">
                  <c:v>MG</c:v>
                </c:pt>
                <c:pt idx="3">
                  <c:v>PR</c:v>
                </c:pt>
              </c:strCache>
            </c:strRef>
          </c:cat>
          <c:val>
            <c:numRef>
              <c:f>DASHBOARD!$B$10:$B$13</c:f>
              <c:numCache>
                <c:formatCode>General</c:formatCode>
                <c:ptCount val="4"/>
                <c:pt idx="0">
                  <c:v>131574</c:v>
                </c:pt>
                <c:pt idx="1">
                  <c:v>246430</c:v>
                </c:pt>
                <c:pt idx="2">
                  <c:v>246192</c:v>
                </c:pt>
                <c:pt idx="3">
                  <c:v>224994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D5-44FC-A3D9-045F6D524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Application Status</a:t>
            </a:r>
          </a:p>
        </c:rich>
      </c:tx>
      <c:layout>
        <c:manualLayout>
          <c:xMode val="edge"/>
          <c:yMode val="edge"/>
          <c:x val="0.29283989501312341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133333333333331"/>
          <c:y val="0.10682492581602369"/>
          <c:w val="0.73333333333333328"/>
          <c:h val="0.81602373887240354"/>
        </c:manualLayout>
      </c:layout>
      <c:pie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DASHBOARD!$A$16:$A$18</c:f>
              <c:strCache>
                <c:ptCount val="3"/>
                <c:pt idx="0">
                  <c:v>Approved</c:v>
                </c:pt>
                <c:pt idx="1">
                  <c:v>Pending</c:v>
                </c:pt>
                <c:pt idx="2">
                  <c:v>Rejected</c:v>
                </c:pt>
              </c:strCache>
            </c:strRef>
          </c:cat>
          <c:val>
            <c:numRef>
              <c:f>DASHBOARD!$B$16:$B$18</c:f>
              <c:numCache>
                <c:formatCode>General</c:formatCode>
                <c:ptCount val="3"/>
                <c:pt idx="0">
                  <c:v>42</c:v>
                </c:pt>
                <c:pt idx="1">
                  <c:v>27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61-4A34-88AB-379C7396C7C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1.066666666666667E-2"/>
          <c:y val="0.92062665015537748"/>
          <c:w val="0.98018561679790028"/>
          <c:h val="7.269281992569919E-2"/>
        </c:manualLayout>
      </c:layout>
      <c:overlay val="1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355600</xdr:colOff>
      <xdr:row>6</xdr:row>
      <xdr:rowOff>101600</xdr:rowOff>
    </xdr:from>
    <xdr:ext cx="3200400" cy="28829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4</xdr:col>
      <xdr:colOff>1143000</xdr:colOff>
      <xdr:row>6</xdr:row>
      <xdr:rowOff>107950</xdr:rowOff>
    </xdr:from>
    <xdr:ext cx="3003550" cy="28892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146050</xdr:colOff>
          <xdr:row>4</xdr:row>
          <xdr:rowOff>95250</xdr:rowOff>
        </xdr:from>
        <xdr:to>
          <xdr:col>1</xdr:col>
          <xdr:colOff>1136650</xdr:colOff>
          <xdr:row>5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Dash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reditData" displayName="CreditData" ref="A1:E101">
  <autoFilter ref="A1:E101" xr:uid="{00000000-0009-0000-0100-000001000000}"/>
  <tableColumns count="5">
    <tableColumn id="1" xr3:uid="{00000000-0010-0000-0000-000001000000}" name="Date"/>
    <tableColumn id="2" xr3:uid="{00000000-0010-0000-0000-000002000000}" name="Customer"/>
    <tableColumn id="3" xr3:uid="{00000000-0010-0000-0000-000003000000}" name="Amount" dataDxfId="0"/>
    <tableColumn id="4" xr3:uid="{00000000-0010-0000-0000-000004000000}" name="Status"/>
    <tableColumn id="5" xr3:uid="{00000000-0010-0000-0000-000005000000}" name="Reg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101"/>
  <sheetViews>
    <sheetView showGridLines="0" tabSelected="1" workbookViewId="0">
      <selection activeCell="K4" sqref="K4"/>
    </sheetView>
  </sheetViews>
  <sheetFormatPr defaultRowHeight="14.5" x14ac:dyDescent="0.35"/>
  <cols>
    <col min="1" max="5" width="20" customWidth="1"/>
  </cols>
  <sheetData>
    <row r="1" spans="1: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5">
      <c r="A2" s="2">
        <v>46025</v>
      </c>
      <c r="B2" t="s">
        <v>5</v>
      </c>
      <c r="C2" s="28">
        <v>2293</v>
      </c>
      <c r="D2" t="s">
        <v>6</v>
      </c>
      <c r="E2" t="s">
        <v>7</v>
      </c>
    </row>
    <row r="3" spans="1:5" x14ac:dyDescent="0.35">
      <c r="A3" s="2">
        <v>46026</v>
      </c>
      <c r="B3" t="s">
        <v>8</v>
      </c>
      <c r="C3" s="29">
        <v>9286</v>
      </c>
      <c r="D3" t="s">
        <v>9</v>
      </c>
      <c r="E3" t="s">
        <v>10</v>
      </c>
    </row>
    <row r="4" spans="1:5" x14ac:dyDescent="0.35">
      <c r="A4" s="2">
        <v>46027</v>
      </c>
      <c r="B4" t="s">
        <v>11</v>
      </c>
      <c r="C4" s="29">
        <v>12631</v>
      </c>
      <c r="D4" t="s">
        <v>9</v>
      </c>
      <c r="E4" t="s">
        <v>12</v>
      </c>
    </row>
    <row r="5" spans="1:5" x14ac:dyDescent="0.35">
      <c r="A5" s="2">
        <v>46028</v>
      </c>
      <c r="B5" t="s">
        <v>8</v>
      </c>
      <c r="C5" s="29">
        <v>2932</v>
      </c>
      <c r="D5" t="s">
        <v>13</v>
      </c>
      <c r="E5" t="s">
        <v>10</v>
      </c>
    </row>
    <row r="6" spans="1:5" x14ac:dyDescent="0.35">
      <c r="A6" s="2">
        <v>46029</v>
      </c>
      <c r="B6" t="s">
        <v>14</v>
      </c>
      <c r="C6" s="29">
        <v>11331</v>
      </c>
      <c r="D6" t="s">
        <v>13</v>
      </c>
      <c r="E6" t="s">
        <v>12</v>
      </c>
    </row>
    <row r="7" spans="1:5" x14ac:dyDescent="0.35">
      <c r="A7" s="2">
        <v>46030</v>
      </c>
      <c r="B7" t="s">
        <v>8</v>
      </c>
      <c r="C7" s="29">
        <v>5082</v>
      </c>
      <c r="D7" t="s">
        <v>6</v>
      </c>
      <c r="E7" t="s">
        <v>10</v>
      </c>
    </row>
    <row r="8" spans="1:5" x14ac:dyDescent="0.35">
      <c r="A8" s="2">
        <v>46031</v>
      </c>
      <c r="B8" t="s">
        <v>15</v>
      </c>
      <c r="C8" s="28">
        <v>11197</v>
      </c>
      <c r="D8" t="s">
        <v>6</v>
      </c>
      <c r="E8" t="s">
        <v>7</v>
      </c>
    </row>
    <row r="9" spans="1:5" x14ac:dyDescent="0.35">
      <c r="A9" s="2">
        <v>46032</v>
      </c>
      <c r="B9" t="s">
        <v>16</v>
      </c>
      <c r="C9" s="29">
        <v>13325</v>
      </c>
      <c r="D9" t="s">
        <v>9</v>
      </c>
      <c r="E9" t="s">
        <v>17</v>
      </c>
    </row>
    <row r="10" spans="1:5" x14ac:dyDescent="0.35">
      <c r="A10" s="2">
        <v>46033</v>
      </c>
      <c r="B10" t="s">
        <v>18</v>
      </c>
      <c r="C10" s="29">
        <v>12869</v>
      </c>
      <c r="D10" t="s">
        <v>9</v>
      </c>
      <c r="E10" t="s">
        <v>10</v>
      </c>
    </row>
    <row r="11" spans="1:5" x14ac:dyDescent="0.35">
      <c r="A11" s="2">
        <v>46034</v>
      </c>
      <c r="B11" t="s">
        <v>5</v>
      </c>
      <c r="C11" s="29">
        <v>11298</v>
      </c>
      <c r="D11" t="s">
        <v>13</v>
      </c>
      <c r="E11" t="s">
        <v>12</v>
      </c>
    </row>
    <row r="12" spans="1:5" x14ac:dyDescent="0.35">
      <c r="A12" s="2">
        <v>46035</v>
      </c>
      <c r="B12" t="s">
        <v>19</v>
      </c>
      <c r="C12" s="29">
        <v>4810</v>
      </c>
      <c r="D12" t="s">
        <v>6</v>
      </c>
      <c r="E12" t="s">
        <v>12</v>
      </c>
    </row>
    <row r="13" spans="1:5" x14ac:dyDescent="0.35">
      <c r="A13" s="2">
        <v>46036</v>
      </c>
      <c r="B13" t="s">
        <v>11</v>
      </c>
      <c r="C13" s="29">
        <v>4841</v>
      </c>
      <c r="D13" t="s">
        <v>9</v>
      </c>
      <c r="E13" t="s">
        <v>10</v>
      </c>
    </row>
    <row r="14" spans="1:5" x14ac:dyDescent="0.35">
      <c r="A14" s="2">
        <v>46037</v>
      </c>
      <c r="B14" t="s">
        <v>20</v>
      </c>
      <c r="C14" s="29">
        <v>8636</v>
      </c>
      <c r="D14" t="s">
        <v>13</v>
      </c>
      <c r="E14" t="s">
        <v>10</v>
      </c>
    </row>
    <row r="15" spans="1:5" x14ac:dyDescent="0.35">
      <c r="A15" s="2">
        <v>46038</v>
      </c>
      <c r="B15" t="s">
        <v>21</v>
      </c>
      <c r="C15" s="29">
        <v>3430</v>
      </c>
      <c r="D15" t="s">
        <v>6</v>
      </c>
      <c r="E15" t="s">
        <v>10</v>
      </c>
    </row>
    <row r="16" spans="1:5" x14ac:dyDescent="0.35">
      <c r="A16" s="2">
        <v>46039</v>
      </c>
      <c r="B16" t="s">
        <v>14</v>
      </c>
      <c r="C16" s="29">
        <v>6750</v>
      </c>
      <c r="D16" t="s">
        <v>13</v>
      </c>
      <c r="E16" t="s">
        <v>17</v>
      </c>
    </row>
    <row r="17" spans="1:5" x14ac:dyDescent="0.35">
      <c r="A17" s="2">
        <v>46040</v>
      </c>
      <c r="B17" t="s">
        <v>22</v>
      </c>
      <c r="C17" s="28">
        <v>1192</v>
      </c>
      <c r="D17" t="s">
        <v>6</v>
      </c>
      <c r="E17" t="s">
        <v>7</v>
      </c>
    </row>
    <row r="18" spans="1:5" x14ac:dyDescent="0.35">
      <c r="A18" s="2">
        <v>46041</v>
      </c>
      <c r="B18" t="s">
        <v>23</v>
      </c>
      <c r="C18" s="28">
        <v>6338</v>
      </c>
      <c r="D18" t="s">
        <v>6</v>
      </c>
      <c r="E18" t="s">
        <v>7</v>
      </c>
    </row>
    <row r="19" spans="1:5" x14ac:dyDescent="0.35">
      <c r="A19" s="2">
        <v>46042</v>
      </c>
      <c r="B19" t="s">
        <v>20</v>
      </c>
      <c r="C19" s="28">
        <v>6010</v>
      </c>
      <c r="D19" t="s">
        <v>6</v>
      </c>
      <c r="E19" t="s">
        <v>7</v>
      </c>
    </row>
    <row r="20" spans="1:5" x14ac:dyDescent="0.35">
      <c r="A20" s="2">
        <v>46043</v>
      </c>
      <c r="B20" t="s">
        <v>24</v>
      </c>
      <c r="C20" s="29">
        <v>12428</v>
      </c>
      <c r="D20" t="s">
        <v>6</v>
      </c>
      <c r="E20" t="s">
        <v>17</v>
      </c>
    </row>
    <row r="21" spans="1:5" x14ac:dyDescent="0.35">
      <c r="A21" s="2">
        <v>46044</v>
      </c>
      <c r="B21" t="s">
        <v>22</v>
      </c>
      <c r="C21" s="29">
        <v>6828</v>
      </c>
      <c r="D21" t="s">
        <v>6</v>
      </c>
      <c r="E21" t="s">
        <v>17</v>
      </c>
    </row>
    <row r="22" spans="1:5" x14ac:dyDescent="0.35">
      <c r="A22" s="2">
        <v>46045</v>
      </c>
      <c r="B22" t="s">
        <v>22</v>
      </c>
      <c r="C22" s="29">
        <v>4315</v>
      </c>
      <c r="D22" t="s">
        <v>13</v>
      </c>
      <c r="E22" t="s">
        <v>17</v>
      </c>
    </row>
    <row r="23" spans="1:5" x14ac:dyDescent="0.35">
      <c r="A23" s="2">
        <v>46046</v>
      </c>
      <c r="B23" t="s">
        <v>22</v>
      </c>
      <c r="C23" s="29">
        <v>10026</v>
      </c>
      <c r="D23" t="s">
        <v>9</v>
      </c>
      <c r="E23" t="s">
        <v>12</v>
      </c>
    </row>
    <row r="24" spans="1:5" x14ac:dyDescent="0.35">
      <c r="A24" s="2">
        <v>46047</v>
      </c>
      <c r="B24" t="s">
        <v>25</v>
      </c>
      <c r="C24" s="28">
        <v>1555</v>
      </c>
      <c r="D24" t="s">
        <v>6</v>
      </c>
      <c r="E24" t="s">
        <v>7</v>
      </c>
    </row>
    <row r="25" spans="1:5" x14ac:dyDescent="0.35">
      <c r="A25" s="2">
        <v>46048</v>
      </c>
      <c r="B25" t="s">
        <v>22</v>
      </c>
      <c r="C25" s="28">
        <v>1729</v>
      </c>
      <c r="D25" t="s">
        <v>6</v>
      </c>
      <c r="E25" t="s">
        <v>7</v>
      </c>
    </row>
    <row r="26" spans="1:5" x14ac:dyDescent="0.35">
      <c r="A26" s="2">
        <v>46049</v>
      </c>
      <c r="B26" t="s">
        <v>25</v>
      </c>
      <c r="C26" s="29">
        <v>6722</v>
      </c>
      <c r="D26" t="s">
        <v>6</v>
      </c>
      <c r="E26" t="s">
        <v>10</v>
      </c>
    </row>
    <row r="27" spans="1:5" x14ac:dyDescent="0.35">
      <c r="A27" s="2">
        <v>46050</v>
      </c>
      <c r="B27" t="s">
        <v>22</v>
      </c>
      <c r="C27" s="29">
        <v>2663</v>
      </c>
      <c r="D27" t="s">
        <v>13</v>
      </c>
      <c r="E27" t="s">
        <v>17</v>
      </c>
    </row>
    <row r="28" spans="1:5" x14ac:dyDescent="0.35">
      <c r="A28" s="2">
        <v>46051</v>
      </c>
      <c r="B28" t="s">
        <v>5</v>
      </c>
      <c r="C28" s="29">
        <v>8922</v>
      </c>
      <c r="D28" t="s">
        <v>6</v>
      </c>
      <c r="E28" t="s">
        <v>12</v>
      </c>
    </row>
    <row r="29" spans="1:5" x14ac:dyDescent="0.35">
      <c r="A29" s="2">
        <v>46052</v>
      </c>
      <c r="B29" t="s">
        <v>26</v>
      </c>
      <c r="C29" s="29">
        <v>10531</v>
      </c>
      <c r="D29" t="s">
        <v>6</v>
      </c>
      <c r="E29" t="s">
        <v>17</v>
      </c>
    </row>
    <row r="30" spans="1:5" x14ac:dyDescent="0.35">
      <c r="A30" s="2">
        <v>46053</v>
      </c>
      <c r="B30" t="s">
        <v>27</v>
      </c>
      <c r="C30" s="29">
        <v>4713</v>
      </c>
      <c r="D30" t="s">
        <v>6</v>
      </c>
      <c r="E30" t="s">
        <v>17</v>
      </c>
    </row>
    <row r="31" spans="1:5" x14ac:dyDescent="0.35">
      <c r="A31" s="2">
        <v>46054</v>
      </c>
      <c r="B31" t="s">
        <v>24</v>
      </c>
      <c r="C31" s="29">
        <v>11390</v>
      </c>
      <c r="D31" t="s">
        <v>6</v>
      </c>
      <c r="E31" t="s">
        <v>10</v>
      </c>
    </row>
    <row r="32" spans="1:5" x14ac:dyDescent="0.35">
      <c r="A32" s="2">
        <v>46055</v>
      </c>
      <c r="B32" t="s">
        <v>22</v>
      </c>
      <c r="C32" s="28">
        <v>13081</v>
      </c>
      <c r="D32" t="s">
        <v>9</v>
      </c>
      <c r="E32" t="s">
        <v>7</v>
      </c>
    </row>
    <row r="33" spans="1:5" x14ac:dyDescent="0.35">
      <c r="A33" s="2">
        <v>46056</v>
      </c>
      <c r="B33" t="s">
        <v>27</v>
      </c>
      <c r="C33" s="28">
        <v>2874</v>
      </c>
      <c r="D33" t="s">
        <v>13</v>
      </c>
      <c r="E33" t="s">
        <v>7</v>
      </c>
    </row>
    <row r="34" spans="1:5" x14ac:dyDescent="0.35">
      <c r="A34" s="2">
        <v>46057</v>
      </c>
      <c r="B34" t="s">
        <v>22</v>
      </c>
      <c r="C34" s="29">
        <v>14959</v>
      </c>
      <c r="D34" t="s">
        <v>9</v>
      </c>
      <c r="E34" t="s">
        <v>12</v>
      </c>
    </row>
    <row r="35" spans="1:5" x14ac:dyDescent="0.35">
      <c r="A35" s="2">
        <v>46058</v>
      </c>
      <c r="B35" t="s">
        <v>16</v>
      </c>
      <c r="C35" s="29">
        <v>9587</v>
      </c>
      <c r="D35" t="s">
        <v>9</v>
      </c>
      <c r="E35" t="s">
        <v>10</v>
      </c>
    </row>
    <row r="36" spans="1:5" x14ac:dyDescent="0.35">
      <c r="A36" s="2">
        <v>46059</v>
      </c>
      <c r="B36" t="s">
        <v>23</v>
      </c>
      <c r="C36" s="29">
        <v>8564</v>
      </c>
      <c r="D36" t="s">
        <v>13</v>
      </c>
      <c r="E36" t="s">
        <v>12</v>
      </c>
    </row>
    <row r="37" spans="1:5" x14ac:dyDescent="0.35">
      <c r="A37" s="2">
        <v>46060</v>
      </c>
      <c r="B37" t="s">
        <v>28</v>
      </c>
      <c r="C37" s="28">
        <v>8160</v>
      </c>
      <c r="D37" t="s">
        <v>9</v>
      </c>
      <c r="E37" t="s">
        <v>7</v>
      </c>
    </row>
    <row r="38" spans="1:5" x14ac:dyDescent="0.35">
      <c r="A38" s="2">
        <v>46061</v>
      </c>
      <c r="B38" t="s">
        <v>14</v>
      </c>
      <c r="C38" s="29">
        <v>14947</v>
      </c>
      <c r="D38" t="s">
        <v>6</v>
      </c>
      <c r="E38" t="s">
        <v>10</v>
      </c>
    </row>
    <row r="39" spans="1:5" x14ac:dyDescent="0.35">
      <c r="A39" s="2">
        <v>46062</v>
      </c>
      <c r="B39" t="s">
        <v>22</v>
      </c>
      <c r="C39" s="28">
        <v>8745</v>
      </c>
      <c r="D39" t="s">
        <v>6</v>
      </c>
      <c r="E39" t="s">
        <v>7</v>
      </c>
    </row>
    <row r="40" spans="1:5" x14ac:dyDescent="0.35">
      <c r="A40" s="2">
        <v>46063</v>
      </c>
      <c r="B40" t="s">
        <v>5</v>
      </c>
      <c r="C40" s="29">
        <v>13193</v>
      </c>
      <c r="D40" t="s">
        <v>13</v>
      </c>
      <c r="E40" t="s">
        <v>10</v>
      </c>
    </row>
    <row r="41" spans="1:5" x14ac:dyDescent="0.35">
      <c r="A41" s="2">
        <v>46064</v>
      </c>
      <c r="B41" t="s">
        <v>24</v>
      </c>
      <c r="C41" s="29">
        <v>13964</v>
      </c>
      <c r="D41" t="s">
        <v>13</v>
      </c>
      <c r="E41" t="s">
        <v>10</v>
      </c>
    </row>
    <row r="42" spans="1:5" x14ac:dyDescent="0.35">
      <c r="A42" s="2">
        <v>46065</v>
      </c>
      <c r="B42" t="s">
        <v>16</v>
      </c>
      <c r="C42" s="29">
        <v>10990</v>
      </c>
      <c r="D42" t="s">
        <v>13</v>
      </c>
      <c r="E42" t="s">
        <v>12</v>
      </c>
    </row>
    <row r="43" spans="1:5" x14ac:dyDescent="0.35">
      <c r="A43" s="2">
        <v>46066</v>
      </c>
      <c r="B43" t="s">
        <v>29</v>
      </c>
      <c r="C43" s="28">
        <v>12263</v>
      </c>
      <c r="D43" t="s">
        <v>6</v>
      </c>
      <c r="E43" t="s">
        <v>7</v>
      </c>
    </row>
    <row r="44" spans="1:5" x14ac:dyDescent="0.35">
      <c r="A44" s="2">
        <v>46067</v>
      </c>
      <c r="B44" t="s">
        <v>19</v>
      </c>
      <c r="C44" s="29">
        <v>14552</v>
      </c>
      <c r="D44" t="s">
        <v>9</v>
      </c>
      <c r="E44" t="s">
        <v>12</v>
      </c>
    </row>
    <row r="45" spans="1:5" x14ac:dyDescent="0.35">
      <c r="A45" s="2">
        <v>46068</v>
      </c>
      <c r="B45" t="s">
        <v>29</v>
      </c>
      <c r="C45" s="29">
        <v>11808</v>
      </c>
      <c r="D45" t="s">
        <v>6</v>
      </c>
      <c r="E45" t="s">
        <v>12</v>
      </c>
    </row>
    <row r="46" spans="1:5" x14ac:dyDescent="0.35">
      <c r="A46" s="2">
        <v>46069</v>
      </c>
      <c r="B46" t="s">
        <v>30</v>
      </c>
      <c r="C46" s="29">
        <v>10270</v>
      </c>
      <c r="D46" t="s">
        <v>13</v>
      </c>
      <c r="E46" t="s">
        <v>12</v>
      </c>
    </row>
    <row r="47" spans="1:5" x14ac:dyDescent="0.35">
      <c r="A47" s="2">
        <v>46070</v>
      </c>
      <c r="B47" t="s">
        <v>8</v>
      </c>
      <c r="C47" s="29">
        <v>10721</v>
      </c>
      <c r="D47" t="s">
        <v>13</v>
      </c>
      <c r="E47" t="s">
        <v>10</v>
      </c>
    </row>
    <row r="48" spans="1:5" x14ac:dyDescent="0.35">
      <c r="A48" s="2">
        <v>46071</v>
      </c>
      <c r="B48" t="s">
        <v>5</v>
      </c>
      <c r="C48" s="29">
        <v>13371</v>
      </c>
      <c r="D48" t="s">
        <v>13</v>
      </c>
      <c r="E48" t="s">
        <v>12</v>
      </c>
    </row>
    <row r="49" spans="1:5" x14ac:dyDescent="0.35">
      <c r="A49" s="2">
        <v>46072</v>
      </c>
      <c r="B49" t="s">
        <v>24</v>
      </c>
      <c r="C49" s="29">
        <v>8171</v>
      </c>
      <c r="D49" t="s">
        <v>9</v>
      </c>
      <c r="E49" t="s">
        <v>17</v>
      </c>
    </row>
    <row r="50" spans="1:5" x14ac:dyDescent="0.35">
      <c r="A50" s="2">
        <v>46073</v>
      </c>
      <c r="B50" t="s">
        <v>16</v>
      </c>
      <c r="C50" s="29">
        <v>2065</v>
      </c>
      <c r="D50" t="s">
        <v>6</v>
      </c>
      <c r="E50" t="s">
        <v>17</v>
      </c>
    </row>
    <row r="51" spans="1:5" x14ac:dyDescent="0.35">
      <c r="A51" s="2">
        <v>46074</v>
      </c>
      <c r="B51" t="s">
        <v>20</v>
      </c>
      <c r="C51" s="29">
        <v>12467</v>
      </c>
      <c r="D51" t="s">
        <v>9</v>
      </c>
      <c r="E51" t="s">
        <v>12</v>
      </c>
    </row>
    <row r="52" spans="1:5" x14ac:dyDescent="0.35">
      <c r="A52" s="2">
        <v>46075</v>
      </c>
      <c r="B52" t="s">
        <v>22</v>
      </c>
      <c r="C52" s="29">
        <v>10477</v>
      </c>
      <c r="D52" t="s">
        <v>13</v>
      </c>
      <c r="E52" t="s">
        <v>10</v>
      </c>
    </row>
    <row r="53" spans="1:5" x14ac:dyDescent="0.35">
      <c r="A53" s="2">
        <v>46076</v>
      </c>
      <c r="B53" t="s">
        <v>8</v>
      </c>
      <c r="C53" s="29">
        <v>9524</v>
      </c>
      <c r="D53" t="s">
        <v>6</v>
      </c>
      <c r="E53" t="s">
        <v>12</v>
      </c>
    </row>
    <row r="54" spans="1:5" x14ac:dyDescent="0.35">
      <c r="A54" s="2">
        <v>46077</v>
      </c>
      <c r="B54" t="s">
        <v>19</v>
      </c>
      <c r="C54" s="29">
        <v>9236</v>
      </c>
      <c r="D54" t="s">
        <v>13</v>
      </c>
      <c r="E54" t="s">
        <v>12</v>
      </c>
    </row>
    <row r="55" spans="1:5" x14ac:dyDescent="0.35">
      <c r="A55" s="2">
        <v>46078</v>
      </c>
      <c r="B55" t="s">
        <v>24</v>
      </c>
      <c r="C55" s="29">
        <v>13460</v>
      </c>
      <c r="D55" t="s">
        <v>6</v>
      </c>
      <c r="E55" t="s">
        <v>17</v>
      </c>
    </row>
    <row r="56" spans="1:5" x14ac:dyDescent="0.35">
      <c r="A56" s="2">
        <v>46079</v>
      </c>
      <c r="B56" t="s">
        <v>8</v>
      </c>
      <c r="C56" s="29">
        <v>11709</v>
      </c>
      <c r="D56" t="s">
        <v>6</v>
      </c>
      <c r="E56" t="s">
        <v>12</v>
      </c>
    </row>
    <row r="57" spans="1:5" x14ac:dyDescent="0.35">
      <c r="A57" s="2">
        <v>46080</v>
      </c>
      <c r="B57" t="s">
        <v>20</v>
      </c>
      <c r="C57" s="28">
        <v>9566</v>
      </c>
      <c r="D57" t="s">
        <v>13</v>
      </c>
      <c r="E57" t="s">
        <v>7</v>
      </c>
    </row>
    <row r="58" spans="1:5" x14ac:dyDescent="0.35">
      <c r="A58" s="2">
        <v>46081</v>
      </c>
      <c r="B58" t="s">
        <v>15</v>
      </c>
      <c r="C58" s="29">
        <v>8971</v>
      </c>
      <c r="D58" t="s">
        <v>9</v>
      </c>
      <c r="E58" t="s">
        <v>17</v>
      </c>
    </row>
    <row r="59" spans="1:5" x14ac:dyDescent="0.35">
      <c r="A59" s="2">
        <v>46082</v>
      </c>
      <c r="B59" t="s">
        <v>16</v>
      </c>
      <c r="C59" s="28">
        <v>9414</v>
      </c>
      <c r="D59" t="s">
        <v>9</v>
      </c>
      <c r="E59" t="s">
        <v>7</v>
      </c>
    </row>
    <row r="60" spans="1:5" x14ac:dyDescent="0.35">
      <c r="A60" s="2">
        <v>46083</v>
      </c>
      <c r="B60" t="s">
        <v>19</v>
      </c>
      <c r="C60" s="29">
        <v>6381</v>
      </c>
      <c r="D60" t="s">
        <v>9</v>
      </c>
      <c r="E60" t="s">
        <v>17</v>
      </c>
    </row>
    <row r="61" spans="1:5" x14ac:dyDescent="0.35">
      <c r="A61" s="2">
        <v>46084</v>
      </c>
      <c r="B61" t="s">
        <v>28</v>
      </c>
      <c r="C61" s="28">
        <v>9130</v>
      </c>
      <c r="D61" t="s">
        <v>6</v>
      </c>
      <c r="E61" t="s">
        <v>7</v>
      </c>
    </row>
    <row r="62" spans="1:5" x14ac:dyDescent="0.35">
      <c r="A62" s="2">
        <v>46085</v>
      </c>
      <c r="B62" t="s">
        <v>8</v>
      </c>
      <c r="C62" s="29">
        <v>12910</v>
      </c>
      <c r="D62" t="s">
        <v>9</v>
      </c>
      <c r="E62" t="s">
        <v>10</v>
      </c>
    </row>
    <row r="63" spans="1:5" x14ac:dyDescent="0.35">
      <c r="A63" s="2">
        <v>46086</v>
      </c>
      <c r="B63" t="s">
        <v>15</v>
      </c>
      <c r="C63" s="29">
        <v>14071</v>
      </c>
      <c r="D63" t="s">
        <v>6</v>
      </c>
      <c r="E63" t="s">
        <v>10</v>
      </c>
    </row>
    <row r="64" spans="1:5" x14ac:dyDescent="0.35">
      <c r="A64" s="2">
        <v>46087</v>
      </c>
      <c r="B64" t="s">
        <v>29</v>
      </c>
      <c r="C64" s="29">
        <v>8645</v>
      </c>
      <c r="D64" t="s">
        <v>13</v>
      </c>
      <c r="E64" t="s">
        <v>10</v>
      </c>
    </row>
    <row r="65" spans="1:5" x14ac:dyDescent="0.35">
      <c r="A65" s="2">
        <v>46088</v>
      </c>
      <c r="B65" t="s">
        <v>23</v>
      </c>
      <c r="C65" s="28">
        <v>8024</v>
      </c>
      <c r="D65" t="s">
        <v>6</v>
      </c>
      <c r="E65" t="s">
        <v>7</v>
      </c>
    </row>
    <row r="66" spans="1:5" x14ac:dyDescent="0.35">
      <c r="A66" s="2">
        <v>46089</v>
      </c>
      <c r="B66" t="s">
        <v>11</v>
      </c>
      <c r="C66" s="29">
        <v>10252</v>
      </c>
      <c r="D66" t="s">
        <v>6</v>
      </c>
      <c r="E66" t="s">
        <v>17</v>
      </c>
    </row>
    <row r="67" spans="1:5" x14ac:dyDescent="0.35">
      <c r="A67" s="2">
        <v>46090</v>
      </c>
      <c r="B67" t="s">
        <v>24</v>
      </c>
      <c r="C67" s="28">
        <v>14844</v>
      </c>
      <c r="D67" t="s">
        <v>13</v>
      </c>
      <c r="E67" t="s">
        <v>7</v>
      </c>
    </row>
    <row r="68" spans="1:5" x14ac:dyDescent="0.35">
      <c r="A68" s="2">
        <v>46091</v>
      </c>
      <c r="B68" t="s">
        <v>24</v>
      </c>
      <c r="C68" s="29">
        <v>1164</v>
      </c>
      <c r="D68" t="s">
        <v>9</v>
      </c>
      <c r="E68" t="s">
        <v>17</v>
      </c>
    </row>
    <row r="69" spans="1:5" x14ac:dyDescent="0.35">
      <c r="A69" s="2">
        <v>46092</v>
      </c>
      <c r="B69" t="s">
        <v>20</v>
      </c>
      <c r="C69" s="29">
        <v>5697</v>
      </c>
      <c r="D69" t="s">
        <v>6</v>
      </c>
      <c r="E69" t="s">
        <v>10</v>
      </c>
    </row>
    <row r="70" spans="1:5" x14ac:dyDescent="0.35">
      <c r="A70" s="2">
        <v>46093</v>
      </c>
      <c r="B70" t="s">
        <v>25</v>
      </c>
      <c r="C70" s="29">
        <v>8072</v>
      </c>
      <c r="D70" t="s">
        <v>13</v>
      </c>
      <c r="E70" t="s">
        <v>17</v>
      </c>
    </row>
    <row r="71" spans="1:5" x14ac:dyDescent="0.35">
      <c r="A71" s="2">
        <v>46094</v>
      </c>
      <c r="B71" t="s">
        <v>5</v>
      </c>
      <c r="C71" s="29">
        <v>5190</v>
      </c>
      <c r="D71" t="s">
        <v>6</v>
      </c>
      <c r="E71" t="s">
        <v>17</v>
      </c>
    </row>
    <row r="72" spans="1:5" x14ac:dyDescent="0.35">
      <c r="A72" s="2">
        <v>46095</v>
      </c>
      <c r="B72" t="s">
        <v>19</v>
      </c>
      <c r="C72" s="29">
        <v>13353</v>
      </c>
      <c r="D72" t="s">
        <v>13</v>
      </c>
      <c r="E72" t="s">
        <v>10</v>
      </c>
    </row>
    <row r="73" spans="1:5" x14ac:dyDescent="0.35">
      <c r="A73" s="2">
        <v>46096</v>
      </c>
      <c r="B73" t="s">
        <v>20</v>
      </c>
      <c r="C73" s="29">
        <v>5492</v>
      </c>
      <c r="D73" t="s">
        <v>6</v>
      </c>
      <c r="E73" t="s">
        <v>12</v>
      </c>
    </row>
    <row r="74" spans="1:5" x14ac:dyDescent="0.35">
      <c r="A74" s="2">
        <v>46097</v>
      </c>
      <c r="B74" t="s">
        <v>15</v>
      </c>
      <c r="C74" s="29">
        <v>4861</v>
      </c>
      <c r="D74" t="s">
        <v>13</v>
      </c>
      <c r="E74" t="s">
        <v>17</v>
      </c>
    </row>
    <row r="75" spans="1:5" x14ac:dyDescent="0.35">
      <c r="A75" s="2">
        <v>46098</v>
      </c>
      <c r="B75" t="s">
        <v>26</v>
      </c>
      <c r="C75" s="29">
        <v>13682</v>
      </c>
      <c r="D75" t="s">
        <v>6</v>
      </c>
      <c r="E75" t="s">
        <v>17</v>
      </c>
    </row>
    <row r="76" spans="1:5" x14ac:dyDescent="0.35">
      <c r="A76" s="2">
        <v>46099</v>
      </c>
      <c r="B76" t="s">
        <v>20</v>
      </c>
      <c r="C76" s="29">
        <v>2019</v>
      </c>
      <c r="D76" t="s">
        <v>13</v>
      </c>
      <c r="E76" t="s">
        <v>10</v>
      </c>
    </row>
    <row r="77" spans="1:5" x14ac:dyDescent="0.35">
      <c r="A77" s="2">
        <v>46100</v>
      </c>
      <c r="B77" t="s">
        <v>26</v>
      </c>
      <c r="C77" s="29">
        <v>2839</v>
      </c>
      <c r="D77" t="s">
        <v>9</v>
      </c>
      <c r="E77" t="s">
        <v>17</v>
      </c>
    </row>
    <row r="78" spans="1:5" x14ac:dyDescent="0.35">
      <c r="A78" s="2">
        <v>46101</v>
      </c>
      <c r="B78" t="s">
        <v>28</v>
      </c>
      <c r="C78" s="29">
        <v>13754</v>
      </c>
      <c r="D78" t="s">
        <v>9</v>
      </c>
      <c r="E78" t="s">
        <v>12</v>
      </c>
    </row>
    <row r="79" spans="1:5" x14ac:dyDescent="0.35">
      <c r="A79" s="2">
        <v>46102</v>
      </c>
      <c r="B79" t="s">
        <v>26</v>
      </c>
      <c r="C79" s="29">
        <v>2657</v>
      </c>
      <c r="D79" t="s">
        <v>6</v>
      </c>
      <c r="E79" t="s">
        <v>17</v>
      </c>
    </row>
    <row r="80" spans="1:5" x14ac:dyDescent="0.35">
      <c r="A80" s="2">
        <v>46103</v>
      </c>
      <c r="B80" t="s">
        <v>30</v>
      </c>
      <c r="C80" s="29">
        <v>2231</v>
      </c>
      <c r="D80" t="s">
        <v>9</v>
      </c>
      <c r="E80" t="s">
        <v>12</v>
      </c>
    </row>
    <row r="81" spans="1:5" x14ac:dyDescent="0.35">
      <c r="A81" s="2">
        <v>46104</v>
      </c>
      <c r="B81" t="s">
        <v>22</v>
      </c>
      <c r="C81" s="29">
        <v>14047</v>
      </c>
      <c r="D81" t="s">
        <v>9</v>
      </c>
      <c r="E81" t="s">
        <v>17</v>
      </c>
    </row>
    <row r="82" spans="1:5" x14ac:dyDescent="0.35">
      <c r="A82" s="2">
        <v>46105</v>
      </c>
      <c r="B82" t="s">
        <v>8</v>
      </c>
      <c r="C82" s="29">
        <v>12528</v>
      </c>
      <c r="D82" t="s">
        <v>9</v>
      </c>
      <c r="E82" t="s">
        <v>12</v>
      </c>
    </row>
    <row r="83" spans="1:5" x14ac:dyDescent="0.35">
      <c r="A83" s="2">
        <v>46106</v>
      </c>
      <c r="B83" t="s">
        <v>15</v>
      </c>
      <c r="C83" s="29">
        <v>5681</v>
      </c>
      <c r="D83" t="s">
        <v>9</v>
      </c>
      <c r="E83" t="s">
        <v>12</v>
      </c>
    </row>
    <row r="84" spans="1:5" x14ac:dyDescent="0.35">
      <c r="A84" s="2">
        <v>46107</v>
      </c>
      <c r="B84" t="s">
        <v>21</v>
      </c>
      <c r="C84" s="29">
        <v>9688</v>
      </c>
      <c r="D84" t="s">
        <v>6</v>
      </c>
      <c r="E84" t="s">
        <v>17</v>
      </c>
    </row>
    <row r="85" spans="1:5" x14ac:dyDescent="0.35">
      <c r="A85" s="2">
        <v>46108</v>
      </c>
      <c r="B85" t="s">
        <v>20</v>
      </c>
      <c r="C85" s="29">
        <v>4166</v>
      </c>
      <c r="D85" t="s">
        <v>6</v>
      </c>
      <c r="E85" t="s">
        <v>17</v>
      </c>
    </row>
    <row r="86" spans="1:5" x14ac:dyDescent="0.35">
      <c r="A86" s="2">
        <v>46109</v>
      </c>
      <c r="B86" t="s">
        <v>11</v>
      </c>
      <c r="C86" s="29">
        <v>5438</v>
      </c>
      <c r="D86" t="s">
        <v>13</v>
      </c>
      <c r="E86" t="s">
        <v>10</v>
      </c>
    </row>
    <row r="87" spans="1:5" x14ac:dyDescent="0.35">
      <c r="A87" s="2">
        <v>46110</v>
      </c>
      <c r="B87" t="s">
        <v>28</v>
      </c>
      <c r="C87" s="29">
        <v>11122</v>
      </c>
      <c r="D87" t="s">
        <v>6</v>
      </c>
      <c r="E87" t="s">
        <v>17</v>
      </c>
    </row>
    <row r="88" spans="1:5" x14ac:dyDescent="0.35">
      <c r="A88" s="2">
        <v>46111</v>
      </c>
      <c r="B88" t="s">
        <v>26</v>
      </c>
      <c r="C88" s="29">
        <v>2200</v>
      </c>
      <c r="D88" t="s">
        <v>6</v>
      </c>
      <c r="E88" t="s">
        <v>17</v>
      </c>
    </row>
    <row r="89" spans="1:5" x14ac:dyDescent="0.35">
      <c r="A89" s="2">
        <v>46112</v>
      </c>
      <c r="B89" t="s">
        <v>18</v>
      </c>
      <c r="C89" s="29">
        <v>13551</v>
      </c>
      <c r="D89" t="s">
        <v>13</v>
      </c>
      <c r="E89" t="s">
        <v>10</v>
      </c>
    </row>
    <row r="90" spans="1:5" x14ac:dyDescent="0.35">
      <c r="A90" s="2">
        <v>46113</v>
      </c>
      <c r="B90" t="s">
        <v>5</v>
      </c>
      <c r="C90" s="29">
        <v>10766</v>
      </c>
      <c r="D90" t="s">
        <v>6</v>
      </c>
      <c r="E90" t="s">
        <v>10</v>
      </c>
    </row>
    <row r="91" spans="1:5" x14ac:dyDescent="0.35">
      <c r="A91" s="2">
        <v>46114</v>
      </c>
      <c r="B91" t="s">
        <v>5</v>
      </c>
      <c r="C91" s="29">
        <v>6128</v>
      </c>
      <c r="D91" t="s">
        <v>13</v>
      </c>
      <c r="E91" t="s">
        <v>12</v>
      </c>
    </row>
    <row r="92" spans="1:5" x14ac:dyDescent="0.35">
      <c r="A92" s="2">
        <v>46115</v>
      </c>
      <c r="B92" t="s">
        <v>22</v>
      </c>
      <c r="C92" s="29">
        <v>14843</v>
      </c>
      <c r="D92" t="s">
        <v>9</v>
      </c>
      <c r="E92" t="s">
        <v>10</v>
      </c>
    </row>
    <row r="93" spans="1:5" x14ac:dyDescent="0.35">
      <c r="A93" s="2">
        <v>46116</v>
      </c>
      <c r="B93" t="s">
        <v>19</v>
      </c>
      <c r="C93" s="29">
        <v>6822</v>
      </c>
      <c r="D93" t="s">
        <v>13</v>
      </c>
      <c r="E93" t="s">
        <v>10</v>
      </c>
    </row>
    <row r="94" spans="1:5" x14ac:dyDescent="0.35">
      <c r="A94" s="2">
        <v>46117</v>
      </c>
      <c r="B94" t="s">
        <v>22</v>
      </c>
      <c r="C94" s="28">
        <v>3548</v>
      </c>
      <c r="D94" t="s">
        <v>6</v>
      </c>
      <c r="E94" t="s">
        <v>7</v>
      </c>
    </row>
    <row r="95" spans="1:5" x14ac:dyDescent="0.35">
      <c r="A95" s="2">
        <v>46118</v>
      </c>
      <c r="B95" t="s">
        <v>11</v>
      </c>
      <c r="C95" s="28">
        <v>1611</v>
      </c>
      <c r="D95" t="s">
        <v>9</v>
      </c>
      <c r="E95" t="s">
        <v>7</v>
      </c>
    </row>
    <row r="96" spans="1:5" x14ac:dyDescent="0.35">
      <c r="A96" s="2">
        <v>46119</v>
      </c>
      <c r="B96" t="s">
        <v>5</v>
      </c>
      <c r="C96" s="29">
        <v>10231</v>
      </c>
      <c r="D96" t="s">
        <v>13</v>
      </c>
      <c r="E96" t="s">
        <v>12</v>
      </c>
    </row>
    <row r="97" spans="1:5" x14ac:dyDescent="0.35">
      <c r="A97" s="2">
        <v>46120</v>
      </c>
      <c r="B97" t="s">
        <v>18</v>
      </c>
      <c r="C97" s="29">
        <v>9186</v>
      </c>
      <c r="D97" t="s">
        <v>9</v>
      </c>
      <c r="E97" t="s">
        <v>17</v>
      </c>
    </row>
    <row r="98" spans="1:5" x14ac:dyDescent="0.35">
      <c r="A98" s="2">
        <v>46121</v>
      </c>
      <c r="B98" t="s">
        <v>30</v>
      </c>
      <c r="C98" s="29">
        <v>10754</v>
      </c>
      <c r="D98" t="s">
        <v>6</v>
      </c>
      <c r="E98" t="s">
        <v>17</v>
      </c>
    </row>
    <row r="99" spans="1:5" x14ac:dyDescent="0.35">
      <c r="A99" s="2">
        <v>46122</v>
      </c>
      <c r="B99" t="s">
        <v>24</v>
      </c>
      <c r="C99" s="29">
        <v>5433</v>
      </c>
      <c r="D99" t="s">
        <v>13</v>
      </c>
      <c r="E99" t="s">
        <v>17</v>
      </c>
    </row>
    <row r="100" spans="1:5" x14ac:dyDescent="0.35">
      <c r="A100" s="2">
        <v>46123</v>
      </c>
      <c r="B100" t="s">
        <v>30</v>
      </c>
      <c r="C100" s="29">
        <v>9080</v>
      </c>
      <c r="D100" t="s">
        <v>13</v>
      </c>
      <c r="E100" t="s">
        <v>17</v>
      </c>
    </row>
    <row r="101" spans="1:5" x14ac:dyDescent="0.35">
      <c r="A101" s="2">
        <v>46124</v>
      </c>
      <c r="B101" t="s">
        <v>14</v>
      </c>
      <c r="C101" s="29">
        <v>3917</v>
      </c>
      <c r="D101" t="s">
        <v>6</v>
      </c>
      <c r="E101" t="s">
        <v>12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pageSetUpPr fitToPage="1"/>
  </sheetPr>
  <dimension ref="A1:K24"/>
  <sheetViews>
    <sheetView showGridLines="0" workbookViewId="0">
      <selection activeCell="B8" sqref="B8"/>
    </sheetView>
  </sheetViews>
  <sheetFormatPr defaultColWidth="0" defaultRowHeight="14.5" zeroHeight="1" x14ac:dyDescent="0.35"/>
  <cols>
    <col min="1" max="1" width="22" style="3" customWidth="1"/>
    <col min="2" max="2" width="18" customWidth="1"/>
    <col min="3" max="3" width="18.7265625" bestFit="1" customWidth="1"/>
    <col min="4" max="6" width="18" customWidth="1"/>
    <col min="7" max="7" width="23.54296875" customWidth="1"/>
    <col min="8" max="8" width="4.90625" style="3" customWidth="1"/>
    <col min="9" max="11" width="0" style="3" hidden="1" customWidth="1"/>
    <col min="12" max="16384" width="18" style="3" hidden="1"/>
  </cols>
  <sheetData>
    <row r="1" spans="1:8" ht="14.5" customHeight="1" x14ac:dyDescent="0.35">
      <c r="A1" s="34" t="s">
        <v>31</v>
      </c>
      <c r="B1" s="35"/>
      <c r="C1" s="35"/>
      <c r="D1" s="35"/>
      <c r="E1" s="35"/>
      <c r="F1" s="35"/>
      <c r="G1" s="35"/>
      <c r="H1" s="6"/>
    </row>
    <row r="2" spans="1:8" ht="14.5" customHeight="1" x14ac:dyDescent="0.35">
      <c r="A2" s="35"/>
      <c r="B2" s="35"/>
      <c r="C2" s="35"/>
      <c r="D2" s="35"/>
      <c r="E2" s="35"/>
      <c r="F2" s="35"/>
      <c r="G2" s="35"/>
      <c r="H2" s="6"/>
    </row>
    <row r="3" spans="1:8" x14ac:dyDescent="0.35">
      <c r="A3" s="6"/>
      <c r="B3" s="7"/>
      <c r="C3" s="6"/>
      <c r="D3" s="6"/>
      <c r="E3" s="7"/>
      <c r="F3" s="6"/>
      <c r="G3" s="6"/>
      <c r="H3" s="7"/>
    </row>
    <row r="4" spans="1:8" ht="18.5" customHeight="1" x14ac:dyDescent="0.35">
      <c r="A4" s="14" t="s">
        <v>52</v>
      </c>
      <c r="B4" s="13"/>
      <c r="C4" s="14" t="s">
        <v>54</v>
      </c>
      <c r="D4" s="14" t="s">
        <v>51</v>
      </c>
      <c r="E4" s="14" t="s">
        <v>50</v>
      </c>
      <c r="F4" s="14" t="s">
        <v>49</v>
      </c>
      <c r="G4" s="14" t="s">
        <v>53</v>
      </c>
      <c r="H4" s="6"/>
    </row>
    <row r="5" spans="1:8" s="46" customFormat="1" ht="21" customHeight="1" x14ac:dyDescent="0.45">
      <c r="A5" s="41" t="s">
        <v>61</v>
      </c>
      <c r="B5" s="42"/>
      <c r="C5" s="43" t="s">
        <v>62</v>
      </c>
      <c r="D5" s="43" t="s">
        <v>63</v>
      </c>
      <c r="E5" s="43" t="s">
        <v>64</v>
      </c>
      <c r="F5" s="43" t="s">
        <v>65</v>
      </c>
      <c r="G5" s="44" t="s">
        <v>56</v>
      </c>
      <c r="H5" s="45"/>
    </row>
    <row r="6" spans="1:8" ht="18.5" x14ac:dyDescent="0.35">
      <c r="A6" s="8"/>
      <c r="B6" s="6"/>
      <c r="C6" s="6"/>
      <c r="D6" s="6"/>
      <c r="E6" s="6"/>
      <c r="F6" s="6"/>
      <c r="G6" s="6"/>
      <c r="H6" s="6"/>
    </row>
    <row r="7" spans="1:8" x14ac:dyDescent="0.35">
      <c r="A7" s="6"/>
      <c r="B7" s="6"/>
      <c r="C7" s="6"/>
      <c r="D7" s="6"/>
      <c r="E7" s="6"/>
      <c r="F7" s="6"/>
      <c r="G7" s="6"/>
      <c r="H7" s="6"/>
    </row>
    <row r="8" spans="1:8" x14ac:dyDescent="0.35">
      <c r="A8" s="6"/>
      <c r="B8" s="6"/>
      <c r="C8" s="6"/>
      <c r="D8" s="6"/>
      <c r="E8" s="6"/>
      <c r="F8" s="6"/>
      <c r="G8" s="6"/>
      <c r="H8" s="6"/>
    </row>
    <row r="9" spans="1:8" ht="15" customHeight="1" x14ac:dyDescent="0.35">
      <c r="A9" s="36" t="s">
        <v>34</v>
      </c>
      <c r="B9" s="37"/>
      <c r="C9" s="6"/>
      <c r="D9" s="6"/>
      <c r="E9" s="6"/>
      <c r="F9" s="6"/>
      <c r="G9" s="6"/>
      <c r="H9" s="6"/>
    </row>
    <row r="10" spans="1:8" x14ac:dyDescent="0.35">
      <c r="A10" s="15" t="s">
        <v>7</v>
      </c>
      <c r="B10" s="6">
        <v>131574</v>
      </c>
      <c r="C10" s="6"/>
      <c r="D10" s="6"/>
      <c r="E10" s="6"/>
      <c r="F10" s="6"/>
      <c r="G10" s="6"/>
      <c r="H10" s="6"/>
    </row>
    <row r="11" spans="1:8" x14ac:dyDescent="0.35">
      <c r="A11" s="16" t="s">
        <v>12</v>
      </c>
      <c r="B11" s="6">
        <v>246430</v>
      </c>
      <c r="C11" s="6"/>
      <c r="D11" s="6"/>
      <c r="E11" s="6"/>
      <c r="F11" s="6"/>
      <c r="G11" s="6"/>
      <c r="H11" s="6"/>
    </row>
    <row r="12" spans="1:8" x14ac:dyDescent="0.35">
      <c r="A12" s="17" t="s">
        <v>10</v>
      </c>
      <c r="B12" s="6">
        <v>246192</v>
      </c>
      <c r="C12" s="6"/>
      <c r="D12" s="6"/>
      <c r="E12" s="6"/>
      <c r="F12" s="6"/>
      <c r="G12" s="6"/>
      <c r="H12" s="6"/>
    </row>
    <row r="13" spans="1:8" ht="15" customHeight="1" x14ac:dyDescent="0.35">
      <c r="A13" s="18" t="s">
        <v>17</v>
      </c>
      <c r="B13" s="6">
        <v>224994</v>
      </c>
      <c r="C13" s="6"/>
      <c r="D13" s="6"/>
      <c r="E13" s="6"/>
      <c r="F13" s="6"/>
      <c r="G13" s="6"/>
      <c r="H13" s="6"/>
    </row>
    <row r="14" spans="1:8" x14ac:dyDescent="0.35">
      <c r="A14" s="6"/>
      <c r="B14" s="6"/>
      <c r="C14" s="6"/>
      <c r="D14" s="6"/>
      <c r="E14" s="6"/>
      <c r="F14" s="6"/>
      <c r="G14" s="6"/>
      <c r="H14" s="6"/>
    </row>
    <row r="15" spans="1:8" ht="15" customHeight="1" x14ac:dyDescent="0.35">
      <c r="A15" s="36" t="s">
        <v>34</v>
      </c>
      <c r="B15" s="37"/>
      <c r="C15" s="6"/>
      <c r="D15" s="6"/>
      <c r="E15" s="6"/>
      <c r="F15" s="6"/>
      <c r="G15" s="6"/>
      <c r="H15" s="6"/>
    </row>
    <row r="16" spans="1:8" x14ac:dyDescent="0.35">
      <c r="A16" s="15" t="s">
        <v>6</v>
      </c>
      <c r="B16" s="6">
        <v>42</v>
      </c>
      <c r="C16" s="6"/>
      <c r="D16" s="6"/>
      <c r="E16" s="6"/>
      <c r="F16" s="6"/>
      <c r="G16" s="6"/>
      <c r="H16" s="6"/>
    </row>
    <row r="17" spans="1:8" x14ac:dyDescent="0.35">
      <c r="A17" s="16" t="s">
        <v>9</v>
      </c>
      <c r="B17" s="6">
        <v>27</v>
      </c>
      <c r="C17" s="6"/>
      <c r="D17" s="6"/>
      <c r="E17" s="6"/>
      <c r="F17" s="6"/>
      <c r="G17" s="6"/>
      <c r="H17" s="6"/>
    </row>
    <row r="18" spans="1:8" ht="15" customHeight="1" x14ac:dyDescent="0.35">
      <c r="A18" s="17" t="s">
        <v>13</v>
      </c>
      <c r="B18" s="6">
        <v>31</v>
      </c>
      <c r="C18" s="6"/>
      <c r="D18" s="6"/>
      <c r="E18" s="6"/>
      <c r="F18" s="6"/>
      <c r="G18" s="6"/>
      <c r="H18" s="6"/>
    </row>
    <row r="19" spans="1:8" x14ac:dyDescent="0.35">
      <c r="A19" s="6"/>
      <c r="B19" s="6"/>
      <c r="C19" s="6"/>
      <c r="D19" s="6"/>
      <c r="E19" s="6"/>
      <c r="F19" s="6"/>
      <c r="G19" s="6"/>
      <c r="H19" s="6"/>
    </row>
    <row r="20" spans="1:8" ht="21" x14ac:dyDescent="0.35">
      <c r="A20" s="36" t="s">
        <v>35</v>
      </c>
      <c r="B20" s="37"/>
      <c r="C20" s="6"/>
      <c r="D20" s="6"/>
      <c r="E20" s="6"/>
      <c r="F20" s="6"/>
      <c r="G20" s="6"/>
      <c r="H20" s="6"/>
    </row>
    <row r="21" spans="1:8" x14ac:dyDescent="0.35">
      <c r="A21" s="32" t="s">
        <v>32</v>
      </c>
      <c r="B21" s="33"/>
      <c r="C21" s="6"/>
      <c r="D21" s="6"/>
      <c r="E21" s="6"/>
      <c r="F21" s="6"/>
      <c r="G21" s="6"/>
      <c r="H21" s="6"/>
    </row>
    <row r="22" spans="1:8" x14ac:dyDescent="0.35">
      <c r="A22" s="32" t="s">
        <v>33</v>
      </c>
      <c r="B22" s="33"/>
      <c r="C22" s="6"/>
      <c r="D22" s="6"/>
      <c r="E22" s="6"/>
      <c r="F22" s="6"/>
      <c r="G22" s="6"/>
      <c r="H22" s="6"/>
    </row>
    <row r="23" spans="1:8" x14ac:dyDescent="0.35">
      <c r="A23" s="6"/>
      <c r="B23" s="6"/>
      <c r="C23" s="6"/>
      <c r="D23" s="6"/>
      <c r="E23" s="6"/>
      <c r="F23" s="6"/>
      <c r="G23" s="6"/>
      <c r="H23" s="6"/>
    </row>
    <row r="24" spans="1:8" x14ac:dyDescent="0.35">
      <c r="A24" s="6"/>
      <c r="B24" s="6"/>
      <c r="C24" s="6"/>
      <c r="D24" s="6"/>
      <c r="E24" s="6"/>
      <c r="F24" s="6"/>
      <c r="G24" s="6"/>
      <c r="H24" s="6"/>
    </row>
  </sheetData>
  <mergeCells count="6">
    <mergeCell ref="A21:B21"/>
    <mergeCell ref="A22:B22"/>
    <mergeCell ref="A1:G2"/>
    <mergeCell ref="A9:B9"/>
    <mergeCell ref="A15:B15"/>
    <mergeCell ref="A20:B20"/>
  </mergeCells>
  <phoneticPr fontId="12" type="noConversion"/>
  <printOptions horizontalCentered="1" verticalCentered="1"/>
  <pageMargins left="0.3" right="0.3" top="0.4" bottom="0.4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Dashboard">
                <anchor moveWithCells="1" sizeWithCells="1">
                  <from>
                    <xdr:col>1</xdr:col>
                    <xdr:colOff>146050</xdr:colOff>
                    <xdr:row>4</xdr:row>
                    <xdr:rowOff>95250</xdr:rowOff>
                  </from>
                  <to>
                    <xdr:col>1</xdr:col>
                    <xdr:colOff>1136650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C29"/>
  <sheetViews>
    <sheetView showGridLines="0" workbookViewId="0">
      <pane ySplit="1" topLeftCell="A6" activePane="bottomLeft" state="frozen"/>
      <selection pane="bottomLeft" activeCell="B14" sqref="B14:B15"/>
    </sheetView>
  </sheetViews>
  <sheetFormatPr defaultRowHeight="16.5" x14ac:dyDescent="0.35"/>
  <cols>
    <col min="1" max="1" width="28.6328125" style="4" customWidth="1"/>
    <col min="2" max="2" width="22.6328125" style="4" customWidth="1"/>
    <col min="3" max="3" width="2.36328125" style="19" customWidth="1"/>
    <col min="4" max="5" width="8.7265625" style="4" customWidth="1"/>
    <col min="6" max="16384" width="8.7265625" style="4"/>
  </cols>
  <sheetData>
    <row r="1" spans="1:3" ht="36.5" customHeight="1" x14ac:dyDescent="0.35">
      <c r="A1" s="9" t="s">
        <v>36</v>
      </c>
      <c r="B1" s="20" t="s">
        <v>37</v>
      </c>
      <c r="C1" s="25"/>
    </row>
    <row r="2" spans="1:3" x14ac:dyDescent="0.35">
      <c r="A2" s="11" t="s">
        <v>38</v>
      </c>
      <c r="B2" s="21" t="s">
        <v>55</v>
      </c>
      <c r="C2" s="25"/>
    </row>
    <row r="3" spans="1:3" ht="29" customHeight="1" x14ac:dyDescent="0.35">
      <c r="A3" s="12" t="s">
        <v>39</v>
      </c>
      <c r="B3" s="22" t="s">
        <v>55</v>
      </c>
      <c r="C3" s="25"/>
    </row>
    <row r="4" spans="1:3" ht="29" customHeight="1" x14ac:dyDescent="0.35">
      <c r="A4" s="12" t="s">
        <v>40</v>
      </c>
      <c r="B4" s="27" t="str">
        <f>DASHBOARD!F5</f>
        <v>R$ 8.491,90</v>
      </c>
      <c r="C4" s="25"/>
    </row>
    <row r="5" spans="1:3" ht="29" customHeight="1" x14ac:dyDescent="0.35">
      <c r="A5" s="30" t="s">
        <v>59</v>
      </c>
      <c r="B5" s="23" t="s">
        <v>12</v>
      </c>
      <c r="C5" s="25"/>
    </row>
    <row r="6" spans="1:3" ht="29" customHeight="1" x14ac:dyDescent="0.35">
      <c r="A6" s="12" t="s">
        <v>41</v>
      </c>
      <c r="B6" s="23" t="s">
        <v>42</v>
      </c>
      <c r="C6" s="25"/>
    </row>
    <row r="7" spans="1:3" x14ac:dyDescent="0.35">
      <c r="A7" s="12" t="s">
        <v>43</v>
      </c>
      <c r="B7" s="23" t="s">
        <v>57</v>
      </c>
      <c r="C7" s="25"/>
    </row>
    <row r="8" spans="1:3" ht="29" x14ac:dyDescent="0.35">
      <c r="A8" s="12" t="s">
        <v>44</v>
      </c>
      <c r="B8" s="23" t="s">
        <v>58</v>
      </c>
      <c r="C8" s="25"/>
    </row>
    <row r="9" spans="1:3" x14ac:dyDescent="0.35">
      <c r="A9" s="12" t="s">
        <v>45</v>
      </c>
      <c r="B9" s="26">
        <v>46157.380069444444</v>
      </c>
      <c r="C9" s="25"/>
    </row>
    <row r="10" spans="1:3" s="5" customFormat="1" x14ac:dyDescent="0.35">
      <c r="A10" s="10"/>
      <c r="B10" s="24"/>
      <c r="C10" s="25"/>
    </row>
    <row r="11" spans="1:3" s="5" customFormat="1" x14ac:dyDescent="0.35">
      <c r="A11" s="38" t="s">
        <v>46</v>
      </c>
      <c r="B11" s="39"/>
      <c r="C11" s="25"/>
    </row>
    <row r="12" spans="1:3" x14ac:dyDescent="0.35">
      <c r="A12" s="12" t="s">
        <v>47</v>
      </c>
      <c r="B12" s="23" t="s">
        <v>60</v>
      </c>
      <c r="C12" s="25"/>
    </row>
    <row r="13" spans="1:3" x14ac:dyDescent="0.35">
      <c r="A13" s="12" t="s">
        <v>48</v>
      </c>
      <c r="B13" s="40">
        <v>46157</v>
      </c>
      <c r="C13" s="25"/>
    </row>
    <row r="14" spans="1:3" x14ac:dyDescent="0.35">
      <c r="A14" s="5"/>
      <c r="C14" s="25"/>
    </row>
    <row r="15" spans="1:3" x14ac:dyDescent="0.35">
      <c r="A15" s="5"/>
      <c r="B15" s="31"/>
      <c r="C15" s="25"/>
    </row>
    <row r="16" spans="1:3" x14ac:dyDescent="0.35">
      <c r="A16" s="5"/>
      <c r="C16" s="25"/>
    </row>
    <row r="17" spans="1:3" x14ac:dyDescent="0.35">
      <c r="A17" s="5"/>
      <c r="C17" s="25"/>
    </row>
    <row r="18" spans="1:3" x14ac:dyDescent="0.35">
      <c r="A18" s="5"/>
      <c r="C18" s="25"/>
    </row>
    <row r="19" spans="1:3" x14ac:dyDescent="0.35">
      <c r="A19" s="5"/>
      <c r="C19" s="25"/>
    </row>
    <row r="20" spans="1:3" x14ac:dyDescent="0.35">
      <c r="A20" s="5"/>
      <c r="C20" s="25"/>
    </row>
    <row r="21" spans="1:3" x14ac:dyDescent="0.35">
      <c r="A21" s="5"/>
      <c r="C21" s="25"/>
    </row>
    <row r="22" spans="1:3" x14ac:dyDescent="0.35">
      <c r="A22" s="5"/>
      <c r="C22" s="25"/>
    </row>
    <row r="23" spans="1:3" x14ac:dyDescent="0.35">
      <c r="A23" s="5"/>
      <c r="C23" s="25"/>
    </row>
    <row r="24" spans="1:3" x14ac:dyDescent="0.35">
      <c r="A24" s="5"/>
      <c r="C24" s="25"/>
    </row>
    <row r="25" spans="1:3" x14ac:dyDescent="0.35">
      <c r="A25" s="5"/>
      <c r="C25" s="25"/>
    </row>
    <row r="26" spans="1:3" x14ac:dyDescent="0.35">
      <c r="A26" s="5"/>
      <c r="C26" s="25"/>
    </row>
    <row r="27" spans="1:3" x14ac:dyDescent="0.35">
      <c r="A27" s="5"/>
      <c r="C27" s="25"/>
    </row>
    <row r="28" spans="1:3" x14ac:dyDescent="0.35">
      <c r="A28" s="5"/>
      <c r="C28" s="25"/>
    </row>
    <row r="29" spans="1:3" x14ac:dyDescent="0.35">
      <c r="C29" s="25"/>
    </row>
  </sheetData>
  <mergeCells count="1">
    <mergeCell ref="A11:B1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RAW_DATA</vt:lpstr>
      <vt:lpstr>DASHBOARD</vt:lpstr>
      <vt:lpstr>AUTOMATION_LOG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Rafael Freitas</cp:lastModifiedBy>
  <cp:lastPrinted>2026-05-15T12:07:16Z</cp:lastPrinted>
  <dcterms:created xsi:type="dcterms:W3CDTF">2026-05-14T14:18:18Z</dcterms:created>
  <dcterms:modified xsi:type="dcterms:W3CDTF">2026-05-15T12:13:27Z</dcterms:modified>
</cp:coreProperties>
</file>